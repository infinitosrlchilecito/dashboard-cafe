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CD7829DF-A7F5-4366-9F77-A3F55839D5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FÉ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" l="1" a="1"/>
  <c r="H18" i="3"/>
  <c r="F18" i="3"/>
  <c r="I18" i="3" s="1"/>
  <c r="H17" i="3"/>
  <c r="F17" i="3"/>
  <c r="C17" i="3"/>
  <c r="I17" i="3" s="1"/>
  <c r="H16" i="3"/>
  <c r="F16" i="3"/>
  <c r="C16" i="3"/>
  <c r="I16" i="3" s="1"/>
  <c r="H15" i="3"/>
  <c r="F15" i="3"/>
  <c r="C15" i="3"/>
  <c r="I15" i="3" s="1"/>
  <c r="H14" i="3"/>
  <c r="F14" i="3"/>
  <c r="C14" i="3"/>
  <c r="I14" i="3" s="1"/>
  <c r="H13" i="3"/>
  <c r="F13" i="3"/>
  <c r="C13" i="3"/>
  <c r="I13" i="3" s="1"/>
  <c r="H12" i="3"/>
  <c r="F12" i="3"/>
  <c r="C12" i="3"/>
  <c r="I12" i="3" s="1"/>
  <c r="H11" i="3"/>
  <c r="F11" i="3"/>
  <c r="C11" i="3"/>
  <c r="I11" i="3" s="1"/>
  <c r="H10" i="3"/>
  <c r="F10" i="3"/>
  <c r="C10" i="3"/>
  <c r="I10" i="3" s="1"/>
  <c r="H9" i="3"/>
  <c r="F9" i="3"/>
  <c r="C9" i="3"/>
  <c r="I9" i="3" s="1"/>
  <c r="I8" i="3"/>
  <c r="H8" i="3"/>
  <c r="F8" i="3"/>
  <c r="C8" i="3"/>
  <c r="H7" i="3"/>
  <c r="F7" i="3"/>
  <c r="C7" i="3"/>
  <c r="I7" i="3" s="1"/>
  <c r="H6" i="3"/>
  <c r="F6" i="3"/>
  <c r="C6" i="3"/>
  <c r="I6" i="3" s="1"/>
  <c r="H5" i="3"/>
  <c r="F5" i="3"/>
  <c r="C5" i="3"/>
  <c r="I5" i="3" s="1"/>
  <c r="H4" i="3"/>
  <c r="F4" i="3"/>
  <c r="C4" i="3"/>
  <c r="I3" i="3"/>
  <c r="H3" i="3"/>
  <c r="H19" i="3" s="1"/>
  <c r="F3" i="3"/>
  <c r="C3" i="3"/>
  <c r="I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<sst xmlns="http://schemas.openxmlformats.org/spreadsheetml/2006/main" count="29" uniqueCount="29">
  <si>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PROMOS</t>
  </si>
  <si>
    <t>PROMO COMPLETO COMPARTIDO</t>
  </si>
  <si>
    <t>DESAYUNO CAMPO</t>
  </si>
  <si>
    <t>CAPUCHINO</t>
  </si>
  <si>
    <t>IRLANDES</t>
  </si>
  <si>
    <t>DESAYUNO INFINITO</t>
  </si>
  <si>
    <t>DESAYUNO COMPARTIDO</t>
  </si>
  <si>
    <t>unidades</t>
  </si>
  <si>
    <t>kilos</t>
  </si>
  <si>
    <t>doble</t>
  </si>
  <si>
    <t>JARRA</t>
  </si>
  <si>
    <t>cantidad</t>
  </si>
  <si>
    <t>kilos.</t>
  </si>
  <si>
    <t>bolsas</t>
  </si>
  <si>
    <t>CORTADO</t>
  </si>
  <si>
    <t>TOTAL UNIDADES</t>
  </si>
  <si>
    <t>TOTAL KILOS</t>
  </si>
  <si>
    <t>2 CAFE CON LECHE</t>
  </si>
  <si>
    <t>DOBLE</t>
  </si>
  <si>
    <t>JARRA CON CREMA</t>
  </si>
  <si>
    <t>2 CAPUCHINO</t>
  </si>
  <si>
    <t>DOBLE C/CREMA</t>
  </si>
  <si>
    <t>CAFE CON CREMA}</t>
  </si>
  <si>
    <t>DOBLE P/ LLEVAR</t>
  </si>
  <si>
    <t>CORTADO NOC</t>
  </si>
  <si>
    <t>HOLANDES</t>
  </si>
  <si>
    <t>COLOMBIANO</t>
  </si>
  <si>
    <t>ENERGIA</t>
  </si>
  <si>
    <t>AMERICANO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</si>
</sst>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masis MT Pro Black"/>
      <family val="1"/>
    </font>
    <font>
      <sz val="10"/>
      <color rgb="FF000000"/>
      <name val="Amasis MT Pro Black"/>
      <family val="1"/>
    </font>
    <font>
      <b/>
      <sz val="10"/>
      <color rgb="FF000000"/>
      <name val="Amasis MT Pro Black"/>
      <family val="1"/>
    </font>
    <font>
      <sz val="15"/>
      <color rgb="FFFFFFFF"/>
      <name val="Amasis MT Pro Black"/>
      <family val="1"/>
    </font>
    <font>
      <sz val="15"/>
      <color rgb="FF000000"/>
      <name val="Amasis MT Pro Black"/>
      <family val="1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34"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Amasis MT Pro Black"/>
        <family val="1"/>
        <scheme val="none"/>
      </font>
      <fill>
        <patternFill patternType="solid">
          <fgColor rgb="FF00FF00"/>
          <bgColor rgb="FF00FF0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Amasis MT Pro Black"/>
        <family val="1"/>
        <scheme val="none"/>
      </font>
      <fill>
        <patternFill patternType="solid">
          <fgColor rgb="FF00FF00"/>
          <bgColor rgb="FF00FF00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 Black"/>
        <family val="1"/>
        <scheme val="none"/>
      </font>
      <fill>
        <patternFill patternType="solid">
          <fgColor rgb="FFEFEFEF"/>
          <bgColor rgb="FFEFEFE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asis MT Pro Black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 Black"/>
        <family val="1"/>
        <scheme val="none"/>
      </font>
      <fill>
        <patternFill patternType="solid">
          <fgColor rgb="FFEFEFEF"/>
          <bgColor rgb="FFEFEFE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 Black"/>
        <family val="1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masis MT Pro Black"/>
        <family val="1"/>
        <scheme val="none"/>
      </font>
      <fill>
        <patternFill patternType="solid">
          <fgColor rgb="FFF3F3F3"/>
          <bgColor rgb="FFF3F3F3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 Black"/>
        <family val="1"/>
        <scheme val="none"/>
      </font>
      <fill>
        <patternFill patternType="solid">
          <fgColor rgb="FFEFEFEF"/>
          <bgColor rgb="FFEFEFE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masis MT Pro Black"/>
        <family val="1"/>
        <scheme val="none"/>
      </font>
      <fill>
        <patternFill patternType="solid">
          <fgColor rgb="FF93C47D"/>
          <bgColor rgb="FF93C47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masis MT Pro Black"/>
        <family val="1"/>
        <scheme val="none"/>
      </font>
      <alignment horizontal="center" vertical="center" textRotation="0" wrapText="1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3">
    <tableStyle name="VENTAS DE CAFÉ-style" pivot="0" count="4" xr9:uid="{00000000-0011-0000-FFFF-FFFF00000000}">
      <tableStyleElement type="wholeTable" size="0" dxfId="30"/>
      <tableStyleElement type="headerRow" dxfId="33"/>
      <tableStyleElement type="firstRowStripe" dxfId="32"/>
      <tableStyleElement type="secondRowStripe" dxfId="31"/>
    </tableStyle>
    <tableStyle name="DIVISIÓN-style" pivot="0" count="4" xr9:uid="{00000000-0011-0000-FFFF-FFFF01000000}">
      <tableStyleElement type="wholeTable" size="0" dxfId="26"/>
      <tableStyleElement type="headerRow" dxfId="29"/>
      <tableStyleElement type="firstRowStripe" dxfId="28"/>
      <tableStyleElement type="secondRowStripe" dxfId="27"/>
    </tableStyle>
    <tableStyle name="CAFÉ-style" pivot="0" count="5" xr9:uid="{00000000-0011-0000-FFFF-FFFF02000000}">
      <tableStyleElement type="wholeTable" size="0" dxfId="21"/>
      <tableStyleElement type="headerRow" dxfId="25"/>
      <tableStyleElement type="totalRow" dxfId="22"/>
      <tableStyleElement type="firstRowStripe" dxfId="24"/>
      <tableStyleElement type="secondRowStripe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ATOS" displayName="DATOS" ref="A2:I19" totalsRowCount="1" headerRowDxfId="2" dataDxfId="0" totalsRowDxfId="1">
  <tableColumns count="9">
    <tableColumn id="1" xr3:uid="{00000000-0010-0000-0200-000001000000}" name="PROMOS" dataDxfId="20" totalsRowDxfId="19"/>
    <tableColumn id="2" xr3:uid="{00000000-0010-0000-0200-000002000000}" name="unidades" dataDxfId="18" totalsRowDxfId="17"/>
    <tableColumn id="3" xr3:uid="{00000000-0010-0000-0200-000003000000}" name="kilos" dataDxfId="16" totalsRowDxfId="15"/>
    <tableColumn id="4" xr3:uid="{00000000-0010-0000-0200-000004000000}" name="doble" dataDxfId="14" totalsRowDxfId="13"/>
    <tableColumn id="5" xr3:uid="{00000000-0010-0000-0200-000005000000}" name="cantidad" dataDxfId="12" totalsRowDxfId="11"/>
    <tableColumn id="6" xr3:uid="{00000000-0010-0000-0200-000006000000}" name="kilos." dataDxfId="10" totalsRowDxfId="9"/>
    <tableColumn id="7" xr3:uid="{00000000-0010-0000-0200-000007000000}" name="bolsas" dataDxfId="8" totalsRowDxfId="7"/>
    <tableColumn id="8" xr3:uid="{00000000-0010-0000-0200-000008000000}" name="TOTAL UNIDADES" totalsRowFunction="custom" dataDxfId="6" totalsRowDxfId="5">
      <totalsRowFormula>SUM(DATOS[TOTAL UNIDADES])</totalsRowFormula>
    </tableColumn>
    <tableColumn id="9" xr3:uid="{00000000-0010-0000-0200-000009000000}" name="TOTAL KILOS" totalsRowFunction="custom" dataDxfId="4" totalsRowDxfId="3">
      <totalsRowFormula array="1">SUM(DATOS[bolsas]+DATOS[TOTAL KILOS])</totalsRowFormula>
    </tableColumn>
  </tableColumns>
  <tableStyleInfo name="TableStyleMedium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19"/>
  <sheetViews>
    <sheetView tabSelected="1" zoomScale="91" workbookViewId="0">
      <selection activeCell="H19" sqref="H19"/>
    </sheetView>
  </sheetViews>
  <sheetFormatPr baseColWidth="10" defaultColWidth="12.6640625" defaultRowHeight="15.75" customHeight="1" x14ac:dyDescent="0.25"/>
  <cols>
    <col min="1" max="1" width="19.77734375" style="2" customWidth="1"/>
    <col min="2" max="2" width="19.6640625" style="2" customWidth="1"/>
    <col min="3" max="3" width="20.6640625" style="2" customWidth="1"/>
    <col min="4" max="4" width="22.77734375" style="2" customWidth="1"/>
    <col min="5" max="5" width="22.88671875" style="2" customWidth="1"/>
    <col min="6" max="7" width="20.88671875" style="2" customWidth="1"/>
    <col min="8" max="8" width="15.88671875" style="2" customWidth="1"/>
    <col min="9" max="9" width="12.6640625" style="2"/>
  </cols>
  <sheetData>
    <row r="1" spans="1:17" ht="13.8" x14ac:dyDescent="0.25">
      <c r="A1" s="3"/>
      <c r="B1" s="3"/>
      <c r="C1" s="3"/>
      <c r="D1" s="3"/>
      <c r="E1" s="3"/>
      <c r="F1" s="3"/>
      <c r="G1" s="3"/>
      <c r="H1" s="4"/>
      <c r="I1" s="4"/>
    </row>
    <row r="2" spans="1:17" ht="22.5" customHeight="1" x14ac:dyDescent="0.25">
      <c r="A2" s="5" t="s">
        <v>0</v>
      </c>
      <c r="B2" s="5" t="s">
        <v>7</v>
      </c>
      <c r="C2" s="5" t="s">
        <v>8</v>
      </c>
      <c r="D2" s="6" t="s">
        <v>9</v>
      </c>
      <c r="E2" s="6" t="s">
        <v>11</v>
      </c>
      <c r="F2" s="6" t="s">
        <v>12</v>
      </c>
      <c r="G2" s="7" t="s">
        <v>13</v>
      </c>
      <c r="H2" s="7" t="s">
        <v>15</v>
      </c>
      <c r="I2" s="7" t="s">
        <v>16</v>
      </c>
      <c r="Q2" s="1"/>
    </row>
    <row r="3" spans="1:17" ht="22.5" customHeight="1" x14ac:dyDescent="0.25">
      <c r="A3" s="8" t="s">
        <v>6</v>
      </c>
      <c r="B3" s="8">
        <v>748</v>
      </c>
      <c r="C3" s="8">
        <f t="shared" ref="C3:C17" si="0">((B3)*19)/1000</f>
        <v>14.212</v>
      </c>
      <c r="D3" s="8" t="s">
        <v>10</v>
      </c>
      <c r="E3" s="8">
        <v>599</v>
      </c>
      <c r="F3" s="8">
        <f t="shared" ref="F3:F12" si="1">(E3*19)/1000</f>
        <v>11.381</v>
      </c>
      <c r="G3" s="8">
        <v>12</v>
      </c>
      <c r="H3" s="9">
        <f t="shared" ref="H3:I3" si="2">SUM(B3,E3)</f>
        <v>1347</v>
      </c>
      <c r="I3" s="9">
        <f t="shared" si="2"/>
        <v>25.593</v>
      </c>
      <c r="K3" s="1"/>
    </row>
    <row r="4" spans="1:17" ht="22.5" customHeight="1" x14ac:dyDescent="0.25">
      <c r="A4" s="8" t="s">
        <v>17</v>
      </c>
      <c r="B4" s="8">
        <v>22</v>
      </c>
      <c r="C4" s="8">
        <f t="shared" si="0"/>
        <v>0.41799999999999998</v>
      </c>
      <c r="D4" s="8" t="s">
        <v>18</v>
      </c>
      <c r="E4" s="8">
        <v>259</v>
      </c>
      <c r="F4" s="8">
        <f t="shared" si="1"/>
        <v>4.9210000000000003</v>
      </c>
      <c r="G4" s="8"/>
      <c r="H4" s="9">
        <f t="shared" ref="H4:I4" si="3">SUM(B4,E4)</f>
        <v>281</v>
      </c>
      <c r="I4" s="9">
        <f t="shared" si="3"/>
        <v>5.3390000000000004</v>
      </c>
    </row>
    <row r="5" spans="1:17" ht="22.5" customHeight="1" x14ac:dyDescent="0.25">
      <c r="A5" s="8" t="s">
        <v>1</v>
      </c>
      <c r="B5" s="8">
        <v>36</v>
      </c>
      <c r="C5" s="8">
        <f t="shared" si="0"/>
        <v>0.68400000000000005</v>
      </c>
      <c r="D5" s="8" t="s">
        <v>4</v>
      </c>
      <c r="E5" s="8">
        <v>2</v>
      </c>
      <c r="F5" s="8">
        <f t="shared" si="1"/>
        <v>3.7999999999999999E-2</v>
      </c>
      <c r="G5" s="8"/>
      <c r="H5" s="9">
        <f t="shared" ref="H5:I5" si="4">SUM(B5,E5)</f>
        <v>38</v>
      </c>
      <c r="I5" s="9">
        <f t="shared" si="4"/>
        <v>0.72200000000000009</v>
      </c>
    </row>
    <row r="6" spans="1:17" ht="22.5" customHeight="1" x14ac:dyDescent="0.25">
      <c r="A6" s="8" t="s">
        <v>20</v>
      </c>
      <c r="B6" s="8">
        <v>9</v>
      </c>
      <c r="C6" s="8">
        <f t="shared" si="0"/>
        <v>0.17100000000000001</v>
      </c>
      <c r="D6" s="8" t="s">
        <v>21</v>
      </c>
      <c r="E6" s="8">
        <v>5</v>
      </c>
      <c r="F6" s="8">
        <f t="shared" si="1"/>
        <v>9.5000000000000001E-2</v>
      </c>
      <c r="G6" s="8"/>
      <c r="H6" s="9">
        <f t="shared" ref="H6:I6" si="5">SUM(B6,E6)</f>
        <v>14</v>
      </c>
      <c r="I6" s="9">
        <f t="shared" si="5"/>
        <v>0.26600000000000001</v>
      </c>
    </row>
    <row r="7" spans="1:17" ht="22.5" customHeight="1" x14ac:dyDescent="0.25">
      <c r="A7" s="8" t="s">
        <v>2</v>
      </c>
      <c r="B7" s="8">
        <v>9</v>
      </c>
      <c r="C7" s="8">
        <f t="shared" si="0"/>
        <v>0.17100000000000001</v>
      </c>
      <c r="D7" s="8" t="s">
        <v>23</v>
      </c>
      <c r="E7" s="8">
        <v>5</v>
      </c>
      <c r="F7" s="8">
        <f t="shared" si="1"/>
        <v>9.5000000000000001E-2</v>
      </c>
      <c r="G7" s="8"/>
      <c r="H7" s="9">
        <f t="shared" ref="H7:I7" si="6">SUM(B7,E7)</f>
        <v>14</v>
      </c>
      <c r="I7" s="9">
        <f t="shared" si="6"/>
        <v>0.26600000000000001</v>
      </c>
    </row>
    <row r="8" spans="1:17" ht="22.5" customHeight="1" x14ac:dyDescent="0.25">
      <c r="A8" s="8"/>
      <c r="B8" s="8"/>
      <c r="C8" s="8">
        <f t="shared" si="0"/>
        <v>0</v>
      </c>
      <c r="D8" s="8" t="s">
        <v>25</v>
      </c>
      <c r="E8" s="8">
        <v>2</v>
      </c>
      <c r="F8" s="8">
        <f t="shared" si="1"/>
        <v>3.7999999999999999E-2</v>
      </c>
      <c r="G8" s="8"/>
      <c r="H8" s="9">
        <f t="shared" ref="H8:I8" si="7">SUM(B8,E8)</f>
        <v>2</v>
      </c>
      <c r="I8" s="9">
        <f t="shared" si="7"/>
        <v>3.7999999999999999E-2</v>
      </c>
    </row>
    <row r="9" spans="1:17" ht="22.5" customHeight="1" x14ac:dyDescent="0.25">
      <c r="A9" s="8"/>
      <c r="B9" s="8"/>
      <c r="C9" s="8">
        <f t="shared" si="0"/>
        <v>0</v>
      </c>
      <c r="D9" s="8" t="s">
        <v>26</v>
      </c>
      <c r="E9" s="8">
        <v>1</v>
      </c>
      <c r="F9" s="8">
        <f t="shared" si="1"/>
        <v>1.9E-2</v>
      </c>
      <c r="G9" s="8"/>
      <c r="H9" s="9">
        <f t="shared" ref="H9:I9" si="8">SUM(B9,E9)</f>
        <v>1</v>
      </c>
      <c r="I9" s="9">
        <f t="shared" si="8"/>
        <v>1.9E-2</v>
      </c>
    </row>
    <row r="10" spans="1:17" ht="22.5" customHeight="1" x14ac:dyDescent="0.25">
      <c r="A10" s="8"/>
      <c r="B10" s="8"/>
      <c r="C10" s="8">
        <f t="shared" si="0"/>
        <v>0</v>
      </c>
      <c r="D10" s="8" t="s">
        <v>27</v>
      </c>
      <c r="E10" s="8">
        <v>20</v>
      </c>
      <c r="F10" s="8">
        <f t="shared" si="1"/>
        <v>0.38</v>
      </c>
      <c r="G10" s="8"/>
      <c r="H10" s="9">
        <f t="shared" ref="H10:I10" si="9">SUM(B10,E10)</f>
        <v>20</v>
      </c>
      <c r="I10" s="9">
        <f t="shared" si="9"/>
        <v>0.38</v>
      </c>
    </row>
    <row r="11" spans="1:17" ht="22.5" customHeight="1" x14ac:dyDescent="0.25">
      <c r="A11" s="8"/>
      <c r="B11" s="8"/>
      <c r="C11" s="8">
        <f t="shared" si="0"/>
        <v>0</v>
      </c>
      <c r="D11" s="8" t="s">
        <v>28</v>
      </c>
      <c r="E11" s="8">
        <v>56</v>
      </c>
      <c r="F11" s="8">
        <f t="shared" si="1"/>
        <v>1.0640000000000001</v>
      </c>
      <c r="G11" s="8"/>
      <c r="H11" s="9">
        <f t="shared" ref="H11:I11" si="10">SUM(B11,E11)</f>
        <v>56</v>
      </c>
      <c r="I11" s="9">
        <f t="shared" si="10"/>
        <v>1.0640000000000001</v>
      </c>
    </row>
    <row r="12" spans="1:17" ht="22.5" customHeight="1" x14ac:dyDescent="0.25">
      <c r="A12" s="8"/>
      <c r="B12" s="8"/>
      <c r="C12" s="8">
        <f t="shared" si="0"/>
        <v>0</v>
      </c>
      <c r="D12" s="8" t="s">
        <v>5</v>
      </c>
      <c r="E12" s="8">
        <v>33</v>
      </c>
      <c r="F12" s="8">
        <f t="shared" si="1"/>
        <v>0.627</v>
      </c>
      <c r="G12" s="8"/>
      <c r="H12" s="9">
        <f t="shared" ref="H12:I12" si="11">SUM(B12,E12)</f>
        <v>33</v>
      </c>
      <c r="I12" s="9">
        <f t="shared" si="11"/>
        <v>0.627</v>
      </c>
    </row>
    <row r="13" spans="1:17" ht="22.5" customHeight="1" x14ac:dyDescent="0.25">
      <c r="A13" s="8"/>
      <c r="B13" s="8"/>
      <c r="C13" s="8">
        <f t="shared" si="0"/>
        <v>0</v>
      </c>
      <c r="D13" s="8" t="s">
        <v>14</v>
      </c>
      <c r="E13" s="8">
        <v>437</v>
      </c>
      <c r="F13" s="8">
        <f t="shared" ref="F13:F17" si="12">(E13*14)/1000</f>
        <v>6.1180000000000003</v>
      </c>
      <c r="G13" s="8"/>
      <c r="H13" s="9">
        <f t="shared" ref="H13:I13" si="13">SUM(B13,E13)</f>
        <v>437</v>
      </c>
      <c r="I13" s="9">
        <f t="shared" si="13"/>
        <v>6.1180000000000003</v>
      </c>
    </row>
    <row r="14" spans="1:17" ht="22.5" customHeight="1" x14ac:dyDescent="0.25">
      <c r="A14" s="8"/>
      <c r="B14" s="8"/>
      <c r="C14" s="8">
        <f t="shared" si="0"/>
        <v>0</v>
      </c>
      <c r="D14" s="8" t="s">
        <v>19</v>
      </c>
      <c r="E14" s="8">
        <v>11</v>
      </c>
      <c r="F14" s="8">
        <f t="shared" si="12"/>
        <v>0.154</v>
      </c>
      <c r="G14" s="8"/>
      <c r="H14" s="9">
        <f t="shared" ref="H14:I14" si="14">SUM(B14,E14)</f>
        <v>11</v>
      </c>
      <c r="I14" s="9">
        <f t="shared" si="14"/>
        <v>0.154</v>
      </c>
    </row>
    <row r="15" spans="1:17" ht="22.5" customHeight="1" x14ac:dyDescent="0.25">
      <c r="A15" s="8"/>
      <c r="B15" s="8"/>
      <c r="C15" s="8">
        <f t="shared" si="0"/>
        <v>0</v>
      </c>
      <c r="D15" s="8" t="s">
        <v>3</v>
      </c>
      <c r="E15" s="8">
        <v>14</v>
      </c>
      <c r="F15" s="8">
        <f t="shared" si="12"/>
        <v>0.19600000000000001</v>
      </c>
      <c r="G15" s="8"/>
      <c r="H15" s="9">
        <f t="shared" ref="H15:I15" si="15">SUM(B15,E15)</f>
        <v>14</v>
      </c>
      <c r="I15" s="9">
        <f t="shared" si="15"/>
        <v>0.19600000000000001</v>
      </c>
    </row>
    <row r="16" spans="1:17" ht="22.5" customHeight="1" x14ac:dyDescent="0.25">
      <c r="A16" s="8"/>
      <c r="B16" s="8"/>
      <c r="C16" s="8">
        <f t="shared" si="0"/>
        <v>0</v>
      </c>
      <c r="D16" s="8" t="s">
        <v>22</v>
      </c>
      <c r="E16" s="8">
        <v>2</v>
      </c>
      <c r="F16" s="8">
        <f t="shared" si="12"/>
        <v>2.8000000000000001E-2</v>
      </c>
      <c r="G16" s="8"/>
      <c r="H16" s="9">
        <f t="shared" ref="H16:I16" si="16">SUM(B16,E16)</f>
        <v>2</v>
      </c>
      <c r="I16" s="9">
        <f t="shared" si="16"/>
        <v>2.8000000000000001E-2</v>
      </c>
    </row>
    <row r="17" spans="1:9" ht="22.5" customHeight="1" x14ac:dyDescent="0.25">
      <c r="A17" s="8"/>
      <c r="B17" s="8"/>
      <c r="C17" s="8">
        <f t="shared" si="0"/>
        <v>0</v>
      </c>
      <c r="D17" s="8" t="s">
        <v>24</v>
      </c>
      <c r="E17" s="8">
        <v>1</v>
      </c>
      <c r="F17" s="8">
        <f t="shared" si="12"/>
        <v>1.4E-2</v>
      </c>
      <c r="G17" s="8"/>
      <c r="H17" s="9">
        <f t="shared" ref="H17:I17" si="17">SUM(B17,E17)</f>
        <v>1</v>
      </c>
      <c r="I17" s="9">
        <f t="shared" si="17"/>
        <v>1.4E-2</v>
      </c>
    </row>
    <row r="18" spans="1:9" ht="22.5" customHeight="1" x14ac:dyDescent="0.25">
      <c r="A18" s="8"/>
      <c r="B18" s="8"/>
      <c r="C18" s="8"/>
      <c r="D18" s="8"/>
      <c r="E18" s="8"/>
      <c r="F18" s="8">
        <f>(E18*19)/1000</f>
        <v>0</v>
      </c>
      <c r="G18" s="8"/>
      <c r="H18" s="9">
        <f t="shared" ref="H18:I18" si="18">SUM(B18,E18)</f>
        <v>0</v>
      </c>
      <c r="I18" s="9">
        <f t="shared" si="18"/>
        <v>0</v>
      </c>
    </row>
    <row r="19" spans="1:9" ht="22.5" customHeight="1" x14ac:dyDescent="0.25">
      <c r="A19" s="10"/>
      <c r="B19" s="3"/>
      <c r="C19" s="11"/>
      <c r="D19" s="12"/>
      <c r="E19" s="8"/>
      <c r="F19" s="13"/>
      <c r="G19" s="3"/>
      <c r="H19" s="14">
        <f>SUM(DATOS[TOTAL UNIDADES])</f>
        <v>2271</v>
      </c>
      <c r="I19" s="14" cm="1">
        <f t="array" ref="I19">SUM(DATOS[bolsas]+DATOS[TOTAL KILOS])</f>
        <v>52.824000000000005</v>
      </c>
    </row>
  </sheetData>
  <dataValidations count="1">
    <dataValidation type="custom" allowBlank="1" showDropDown="1" sqref="C3:C18 F3:F18" xr:uid="{00000000-0002-0000-0200-000000000000}">
      <formula1>AND(ISNUMBER(C3),(NOT(OR(NOT(ISERROR(DATEVALUE(C3))), AND(ISNUMBER(C3), LEFT(CELL("format", C3))="D")))))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CAFÉ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franco toledo</cp:lastModifiedBy>
  <dcterms:modified xsi:type="dcterms:W3CDTF">2026-09-10T23:07:37Z</dcterms:modified>
</cp:coreProperties>
</file>