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ranc\Downloads\"/>
    </mc:Choice>
  </mc:AlternateContent>
  <xr:revisionPtr revIDLastSave="0" documentId="13_ncr:1_{AC29BCAA-1213-4B2E-88A3-D7269D9B536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FÉ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3" l="1"/>
  <c r="F17" i="3"/>
  <c r="C17" i="3"/>
  <c r="F16" i="3"/>
  <c r="C16" i="3"/>
  <c r="F15" i="3"/>
  <c r="C15" i="3"/>
  <c r="F14" i="3"/>
  <c r="C14" i="3"/>
  <c r="F13" i="3"/>
  <c r="C13" i="3"/>
  <c r="F12" i="3"/>
  <c r="C12" i="3"/>
  <c r="F11" i="3"/>
  <c r="C11" i="3"/>
  <c r="F10" i="3"/>
  <c r="C10" i="3"/>
  <c r="F9" i="3"/>
  <c r="C9" i="3"/>
  <c r="F8" i="3"/>
  <c r="C8" i="3"/>
  <c r="F7" i="3"/>
  <c r="C7" i="3"/>
  <c r="F6" i="3"/>
  <c r="C6" i="3"/>
  <c r="F5" i="3"/>
  <c r="C5" i="3"/>
  <c r="F4" i="3"/>
  <c r="C4" i="3"/>
  <c r="F3" i="3"/>
  <c r="C3" i="3"/>
</calcChain>
</file>

<file path=xl/sharedStrings.xml><?xml version="1.0" encoding="utf-8"?>
<sst xmlns="http://schemas.openxmlformats.org/spreadsheetml/2006/main" count="27" uniqueCount="27">
  <si>
    <t>PROMOS</t>
  </si>
  <si>
    <t>PROMO COMPLETO COMPARTIDO</t>
  </si>
  <si>
    <t>DESAYUNO CAMPO</t>
  </si>
  <si>
    <t>CAPUCHINO</t>
  </si>
  <si>
    <t>IRLANDES</t>
  </si>
  <si>
    <t>DESAYUNO INFINITO</t>
  </si>
  <si>
    <t>DESAYUNO COMPARTIDO</t>
  </si>
  <si>
    <t>unidades</t>
  </si>
  <si>
    <t>kilos</t>
  </si>
  <si>
    <t>doble</t>
  </si>
  <si>
    <t>JARRA</t>
  </si>
  <si>
    <t>cantidad</t>
  </si>
  <si>
    <t>kilos.</t>
  </si>
  <si>
    <t>CORTADO</t>
  </si>
  <si>
    <t>2 CAFE CON LECHE</t>
  </si>
  <si>
    <t>DOBLE</t>
  </si>
  <si>
    <t>JARRA CON CREMA</t>
  </si>
  <si>
    <t>2 CAPUCHINO</t>
  </si>
  <si>
    <t>DOBLE C/CREMA</t>
  </si>
  <si>
    <t>CAFE CON CREMA}</t>
  </si>
  <si>
    <t>DOBLE P/ LLEVAR</t>
  </si>
  <si>
    <t>CORTADO NOC</t>
  </si>
  <si>
    <t>HOLANDES</t>
  </si>
  <si>
    <t>COLOMBIANO</t>
  </si>
  <si>
    <t>ENERGIA</t>
  </si>
  <si>
    <t>AMERICANO</t>
  </si>
  <si>
    <t>BOLSAS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</si>
</sst>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masis MT Pro Black"/>
      <family val="1"/>
    </font>
    <font>
      <sz val="10"/>
      <color rgb="FF000000"/>
      <name val="Amasis MT Pro Black"/>
      <family val="1"/>
    </font>
    <font>
      <b/>
      <sz val="10"/>
      <color rgb="FF000000"/>
      <name val="Amasis MT Pro Black"/>
      <family val="1"/>
    </font>
  </fonts>
  <fills count="6">
    <fill>
      <patternFill patternType="none"/>
    </fill>
    <fill>
      <patternFill patternType="gray125"/>
    </fill>
    <fill>
      <patternFill patternType="solid">
        <fgColor rgb="FF999999"/>
        <bgColor rgb="FF999999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2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masis MT Pro Black"/>
        <family val="1"/>
        <scheme val="none"/>
      </font>
      <fill>
        <patternFill patternType="solid">
          <fgColor rgb="FFF3F3F3"/>
          <bgColor rgb="FFF3F3F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masis MT Pro Black"/>
        <family val="1"/>
        <scheme val="none"/>
      </font>
      <fill>
        <patternFill patternType="solid">
          <fgColor rgb="FFEFEFEF"/>
          <bgColor rgb="FFEFEFEF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masis MT Pro Black"/>
        <family val="1"/>
        <scheme val="none"/>
      </font>
      <fill>
        <patternFill patternType="solid">
          <fgColor rgb="FF93C47D"/>
          <bgColor rgb="FF93C47D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masis MT Pro Black"/>
        <family val="1"/>
        <scheme val="none"/>
      </font>
      <fill>
        <patternFill patternType="solid">
          <fgColor rgb="FFF3F3F3"/>
          <bgColor rgb="FFF3F3F3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masis MT Pro Black"/>
        <family val="1"/>
        <scheme val="none"/>
      </font>
      <fill>
        <patternFill patternType="solid">
          <fgColor rgb="FFEFEFEF"/>
          <bgColor rgb="FFEFEFEF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masis MT Pro Black"/>
        <family val="1"/>
        <scheme val="none"/>
      </font>
      <fill>
        <patternFill patternType="solid">
          <fgColor rgb="FF93C47D"/>
          <bgColor rgb="FF93C47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Amasis MT Pro Black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Amasis MT Pro Black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Amasis MT Pro Black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Amasis MT Pro Black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Amasis MT Pro Black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Amasis MT Pro Black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Amasis MT Pro Black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Amasis MT Pro Black"/>
        <family val="1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Amasis MT Pro Black"/>
        <family val="1"/>
        <scheme val="none"/>
      </font>
      <alignment horizontal="center" vertical="center" textRotation="0" wrapText="1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DD9D4"/>
          <bgColor rgb="FFCDD9D4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name="VENTAS DE CAFÉ-style" pivot="0" count="4" xr9:uid="{00000000-0011-0000-FFFF-FFFF00000000}">
      <tableStyleElement type="wholeTable" size="0" dxfId="27"/>
      <tableStyleElement type="headerRow" dxfId="26"/>
      <tableStyleElement type="firstRowStripe" dxfId="25"/>
      <tableStyleElement type="secondRowStripe" dxfId="24"/>
    </tableStyle>
    <tableStyle name="DIVISIÓN-style" pivot="0" count="4" xr9:uid="{00000000-0011-0000-FFFF-FFFF01000000}">
      <tableStyleElement type="wholeTable" size="0" dxfId="23"/>
      <tableStyleElement type="headerRow" dxfId="22"/>
      <tableStyleElement type="firstRowStripe" dxfId="21"/>
      <tableStyleElement type="secondRowStripe" dxfId="20"/>
    </tableStyle>
    <tableStyle name="CAFÉ-style" pivot="0" count="5" xr9:uid="{00000000-0011-0000-FFFF-FFFF02000000}">
      <tableStyleElement type="wholeTable" size="0" dxfId="19"/>
      <tableStyleElement type="headerRow" dxfId="18"/>
      <tableStyleElement type="totalRow" dxfId="17"/>
      <tableStyleElement type="firstRowStripe" dxfId="16"/>
      <tableStyleElement type="secondRowStripe" dxfId="1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ATOS" displayName="DATOS" ref="A2:F19" totalsRowCount="1" headerRowDxfId="14" dataDxfId="13" totalsRowDxfId="12">
  <tableColumns count="6">
    <tableColumn id="1" xr3:uid="{00000000-0010-0000-0200-000001000000}" name="PROMOS" dataDxfId="11" totalsRowDxfId="5"/>
    <tableColumn id="2" xr3:uid="{00000000-0010-0000-0200-000002000000}" name="unidades" dataDxfId="10" totalsRowDxfId="4"/>
    <tableColumn id="3" xr3:uid="{00000000-0010-0000-0200-000003000000}" name="kilos" dataDxfId="9" totalsRowDxfId="3"/>
    <tableColumn id="4" xr3:uid="{00000000-0010-0000-0200-000004000000}" name="doble" dataDxfId="8" totalsRowDxfId="2"/>
    <tableColumn id="5" xr3:uid="{00000000-0010-0000-0200-000005000000}" name="cantidad" dataDxfId="7" totalsRowDxfId="1"/>
    <tableColumn id="6" xr3:uid="{00000000-0010-0000-0200-000006000000}" name="kilos." dataDxfId="6" totalsRowDxfId="0"/>
  </tableColumns>
  <tableStyleInfo name="TableStyleMedium1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N19"/>
  <sheetViews>
    <sheetView tabSelected="1" zoomScale="91" workbookViewId="0">
      <selection activeCell="I12" sqref="I12"/>
    </sheetView>
  </sheetViews>
  <sheetFormatPr baseColWidth="10" defaultColWidth="12.6640625" defaultRowHeight="15.75" customHeight="1" x14ac:dyDescent="0.25"/>
  <cols>
    <col min="1" max="1" width="19.77734375" style="2" customWidth="1"/>
    <col min="2" max="2" width="19.6640625" style="2" customWidth="1"/>
    <col min="3" max="3" width="20.6640625" style="2" customWidth="1"/>
    <col min="4" max="4" width="22.77734375" style="2" customWidth="1"/>
    <col min="5" max="5" width="22.88671875" style="2" customWidth="1"/>
    <col min="6" max="6" width="20.88671875" style="2" customWidth="1"/>
  </cols>
  <sheetData>
    <row r="1" spans="1:14" ht="13.8" x14ac:dyDescent="0.25">
      <c r="A1" s="3"/>
      <c r="B1" s="3"/>
      <c r="C1" s="3"/>
      <c r="D1" s="3"/>
      <c r="E1" s="3"/>
      <c r="F1" s="3"/>
    </row>
    <row r="2" spans="1:14" ht="22.5" customHeight="1" x14ac:dyDescent="0.25">
      <c r="A2" s="4" t="s">
        <v>0</v>
      </c>
      <c r="B2" s="4" t="s">
        <v>7</v>
      </c>
      <c r="C2" s="4" t="s">
        <v>8</v>
      </c>
      <c r="D2" s="5" t="s">
        <v>9</v>
      </c>
      <c r="E2" s="5" t="s">
        <v>11</v>
      </c>
      <c r="F2" s="5" t="s">
        <v>12</v>
      </c>
      <c r="N2" s="1"/>
    </row>
    <row r="3" spans="1:14" ht="22.5" customHeight="1" x14ac:dyDescent="0.25">
      <c r="A3" s="6" t="s">
        <v>6</v>
      </c>
      <c r="B3" s="6">
        <v>748</v>
      </c>
      <c r="C3" s="6">
        <f t="shared" ref="C3:C17" si="0">((B3)*19)/1000</f>
        <v>14.212</v>
      </c>
      <c r="D3" s="6" t="s">
        <v>10</v>
      </c>
      <c r="E3" s="6">
        <v>599</v>
      </c>
      <c r="F3" s="6">
        <f t="shared" ref="F3:F12" si="1">(E3*19)/1000</f>
        <v>11.381</v>
      </c>
      <c r="H3" s="1"/>
    </row>
    <row r="4" spans="1:14" ht="22.5" customHeight="1" x14ac:dyDescent="0.25">
      <c r="A4" s="6" t="s">
        <v>14</v>
      </c>
      <c r="B4" s="6">
        <v>22</v>
      </c>
      <c r="C4" s="6">
        <f t="shared" si="0"/>
        <v>0.41799999999999998</v>
      </c>
      <c r="D4" s="6" t="s">
        <v>15</v>
      </c>
      <c r="E4" s="6">
        <v>259</v>
      </c>
      <c r="F4" s="6">
        <f t="shared" si="1"/>
        <v>4.9210000000000003</v>
      </c>
    </row>
    <row r="5" spans="1:14" ht="22.5" customHeight="1" x14ac:dyDescent="0.25">
      <c r="A5" s="6" t="s">
        <v>1</v>
      </c>
      <c r="B5" s="6">
        <v>36</v>
      </c>
      <c r="C5" s="6">
        <f t="shared" si="0"/>
        <v>0.68400000000000005</v>
      </c>
      <c r="D5" s="6" t="s">
        <v>4</v>
      </c>
      <c r="E5" s="6">
        <v>2</v>
      </c>
      <c r="F5" s="6">
        <f t="shared" si="1"/>
        <v>3.7999999999999999E-2</v>
      </c>
    </row>
    <row r="6" spans="1:14" ht="22.5" customHeight="1" x14ac:dyDescent="0.25">
      <c r="A6" s="6" t="s">
        <v>17</v>
      </c>
      <c r="B6" s="6">
        <v>9</v>
      </c>
      <c r="C6" s="6">
        <f t="shared" si="0"/>
        <v>0.17100000000000001</v>
      </c>
      <c r="D6" s="6" t="s">
        <v>18</v>
      </c>
      <c r="E6" s="6">
        <v>5</v>
      </c>
      <c r="F6" s="6">
        <f t="shared" si="1"/>
        <v>9.5000000000000001E-2</v>
      </c>
    </row>
    <row r="7" spans="1:14" ht="22.5" customHeight="1" x14ac:dyDescent="0.25">
      <c r="A7" s="6" t="s">
        <v>2</v>
      </c>
      <c r="B7" s="6">
        <v>9</v>
      </c>
      <c r="C7" s="6">
        <f t="shared" si="0"/>
        <v>0.17100000000000001</v>
      </c>
      <c r="D7" s="6" t="s">
        <v>20</v>
      </c>
      <c r="E7" s="6">
        <v>5</v>
      </c>
      <c r="F7" s="6">
        <f t="shared" si="1"/>
        <v>9.5000000000000001E-2</v>
      </c>
    </row>
    <row r="8" spans="1:14" ht="22.5" customHeight="1" x14ac:dyDescent="0.25">
      <c r="A8" s="6"/>
      <c r="B8" s="6"/>
      <c r="C8" s="6">
        <f t="shared" si="0"/>
        <v>0</v>
      </c>
      <c r="D8" s="6" t="s">
        <v>22</v>
      </c>
      <c r="E8" s="6">
        <v>2</v>
      </c>
      <c r="F8" s="6">
        <f t="shared" si="1"/>
        <v>3.7999999999999999E-2</v>
      </c>
    </row>
    <row r="9" spans="1:14" ht="22.5" customHeight="1" x14ac:dyDescent="0.25">
      <c r="A9" s="6"/>
      <c r="B9" s="6"/>
      <c r="C9" s="6">
        <f t="shared" si="0"/>
        <v>0</v>
      </c>
      <c r="D9" s="6" t="s">
        <v>23</v>
      </c>
      <c r="E9" s="6">
        <v>1</v>
      </c>
      <c r="F9" s="6">
        <f t="shared" si="1"/>
        <v>1.9E-2</v>
      </c>
    </row>
    <row r="10" spans="1:14" ht="22.5" customHeight="1" x14ac:dyDescent="0.25">
      <c r="A10" s="6"/>
      <c r="B10" s="6"/>
      <c r="C10" s="6">
        <f t="shared" si="0"/>
        <v>0</v>
      </c>
      <c r="D10" s="6" t="s">
        <v>24</v>
      </c>
      <c r="E10" s="6">
        <v>20</v>
      </c>
      <c r="F10" s="6">
        <f t="shared" si="1"/>
        <v>0.38</v>
      </c>
    </row>
    <row r="11" spans="1:14" ht="22.5" customHeight="1" x14ac:dyDescent="0.25">
      <c r="A11" s="6"/>
      <c r="B11" s="6"/>
      <c r="C11" s="6">
        <f t="shared" si="0"/>
        <v>0</v>
      </c>
      <c r="D11" s="6" t="s">
        <v>25</v>
      </c>
      <c r="E11" s="6">
        <v>56</v>
      </c>
      <c r="F11" s="6">
        <f t="shared" si="1"/>
        <v>1.0640000000000001</v>
      </c>
    </row>
    <row r="12" spans="1:14" ht="22.5" customHeight="1" x14ac:dyDescent="0.25">
      <c r="A12" s="6"/>
      <c r="B12" s="6"/>
      <c r="C12" s="6">
        <f t="shared" si="0"/>
        <v>0</v>
      </c>
      <c r="D12" s="6" t="s">
        <v>5</v>
      </c>
      <c r="E12" s="6">
        <v>33</v>
      </c>
      <c r="F12" s="6">
        <f t="shared" si="1"/>
        <v>0.627</v>
      </c>
    </row>
    <row r="13" spans="1:14" ht="22.5" customHeight="1" x14ac:dyDescent="0.25">
      <c r="A13" s="6"/>
      <c r="B13" s="6"/>
      <c r="C13" s="6">
        <f t="shared" si="0"/>
        <v>0</v>
      </c>
      <c r="D13" s="6" t="s">
        <v>13</v>
      </c>
      <c r="E13" s="6">
        <v>437</v>
      </c>
      <c r="F13" s="6">
        <f t="shared" ref="F13:F17" si="2">(E13*14)/1000</f>
        <v>6.1180000000000003</v>
      </c>
    </row>
    <row r="14" spans="1:14" ht="22.5" customHeight="1" x14ac:dyDescent="0.25">
      <c r="A14" s="6"/>
      <c r="B14" s="6"/>
      <c r="C14" s="6">
        <f t="shared" si="0"/>
        <v>0</v>
      </c>
      <c r="D14" s="6" t="s">
        <v>16</v>
      </c>
      <c r="E14" s="6">
        <v>11</v>
      </c>
      <c r="F14" s="6">
        <f t="shared" si="2"/>
        <v>0.154</v>
      </c>
    </row>
    <row r="15" spans="1:14" ht="22.5" customHeight="1" x14ac:dyDescent="0.25">
      <c r="A15" s="6"/>
      <c r="B15" s="6"/>
      <c r="C15" s="6">
        <f t="shared" si="0"/>
        <v>0</v>
      </c>
      <c r="D15" s="6" t="s">
        <v>3</v>
      </c>
      <c r="E15" s="6">
        <v>14</v>
      </c>
      <c r="F15" s="6">
        <f t="shared" si="2"/>
        <v>0.19600000000000001</v>
      </c>
    </row>
    <row r="16" spans="1:14" ht="22.5" customHeight="1" x14ac:dyDescent="0.25">
      <c r="A16" s="6"/>
      <c r="B16" s="6"/>
      <c r="C16" s="6">
        <f t="shared" si="0"/>
        <v>0</v>
      </c>
      <c r="D16" s="6" t="s">
        <v>19</v>
      </c>
      <c r="E16" s="6">
        <v>2</v>
      </c>
      <c r="F16" s="6">
        <f t="shared" si="2"/>
        <v>2.8000000000000001E-2</v>
      </c>
    </row>
    <row r="17" spans="1:6" ht="22.5" customHeight="1" x14ac:dyDescent="0.25">
      <c r="A17" s="6"/>
      <c r="B17" s="6"/>
      <c r="C17" s="6">
        <f t="shared" si="0"/>
        <v>0</v>
      </c>
      <c r="D17" s="6" t="s">
        <v>21</v>
      </c>
      <c r="E17" s="6">
        <v>1</v>
      </c>
      <c r="F17" s="6">
        <f t="shared" si="2"/>
        <v>1.4E-2</v>
      </c>
    </row>
    <row r="18" spans="1:6" ht="22.5" customHeight="1" x14ac:dyDescent="0.25">
      <c r="A18" s="6" t="s">
        <v>26</v>
      </c>
      <c r="B18" s="6">
        <v>12</v>
      </c>
      <c r="C18" s="6">
        <v>12</v>
      </c>
      <c r="D18" s="6"/>
      <c r="E18" s="6"/>
      <c r="F18" s="6">
        <f>(E18*19)/1000</f>
        <v>0</v>
      </c>
    </row>
    <row r="19" spans="1:6" ht="22.5" customHeight="1" x14ac:dyDescent="0.25">
      <c r="A19" s="7"/>
      <c r="B19" s="3"/>
      <c r="C19" s="8"/>
      <c r="D19" s="9"/>
      <c r="E19" s="6"/>
      <c r="F19" s="10"/>
    </row>
  </sheetData>
  <dataValidations count="1">
    <dataValidation type="custom" allowBlank="1" showDropDown="1" sqref="C3:C18 F3:F18" xr:uid="{00000000-0002-0000-0200-000000000000}">
      <formula1>AND(ISNUMBER(C3),(NOT(OR(NOT(ISERROR(DATEVALUE(C3))), AND(ISNUMBER(C3), LEFT(CELL("format", C3))="D")))))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CAFÉ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franco toledo</cp:lastModifiedBy>
  <dcterms:modified xsi:type="dcterms:W3CDTF">2026-09-10T23:11:07Z</dcterms:modified>
</cp:coreProperties>
</file>